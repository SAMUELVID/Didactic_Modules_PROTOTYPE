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ÖVDE\TFG\AppDevelopment\Main_Files\Exel_files\"/>
    </mc:Choice>
  </mc:AlternateContent>
  <xr:revisionPtr revIDLastSave="0" documentId="13_ncr:1_{C144F820-7A41-48DE-AF81-357EB5485F65}" xr6:coauthVersionLast="47" xr6:coauthVersionMax="47" xr10:uidLastSave="{00000000-0000-0000-0000-000000000000}"/>
  <bookViews>
    <workbookView xWindow="-108" yWindow="-108" windowWidth="23256" windowHeight="12456" xr2:uid="{0407D821-F1BA-4539-AF11-3FC54176D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9" i="1" l="1" a="1"/>
  <c r="K19" i="1"/>
  <c r="V19" i="1" a="1"/>
  <c r="V19" i="1" s="1"/>
  <c r="U19" i="1" a="1"/>
  <c r="U19" i="1" s="1"/>
  <c r="L19" i="1" a="1"/>
  <c r="L19" i="1" s="1"/>
  <c r="K13" i="1"/>
  <c r="M11" i="1"/>
  <c r="L11" i="1"/>
  <c r="L12" i="1"/>
  <c r="L13" i="1"/>
  <c r="L14" i="1"/>
  <c r="L15" i="1"/>
  <c r="L16" i="1"/>
  <c r="L17" i="1"/>
  <c r="L18" i="1"/>
  <c r="K11" i="1"/>
  <c r="K12" i="1"/>
  <c r="K14" i="1"/>
  <c r="K15" i="1"/>
  <c r="K16" i="1"/>
  <c r="K17" i="1"/>
  <c r="K18" i="1"/>
  <c r="V11" i="1"/>
  <c r="V12" i="1"/>
  <c r="V13" i="1"/>
  <c r="V14" i="1"/>
  <c r="V15" i="1"/>
  <c r="V16" i="1"/>
  <c r="V17" i="1"/>
  <c r="V18" i="1"/>
  <c r="V10" i="1"/>
  <c r="U11" i="1"/>
  <c r="U12" i="1"/>
  <c r="U13" i="1"/>
  <c r="U14" i="1"/>
  <c r="U15" i="1"/>
  <c r="U16" i="1"/>
  <c r="U17" i="1"/>
  <c r="U18" i="1"/>
  <c r="U10" i="1"/>
  <c r="L10" i="1"/>
  <c r="K10" i="1"/>
  <c r="M12" i="1" l="1"/>
  <c r="M10" i="1"/>
  <c r="M18" i="1"/>
  <c r="W10" i="1"/>
  <c r="W11" i="1"/>
  <c r="W18" i="1"/>
  <c r="W17" i="1"/>
  <c r="W16" i="1"/>
  <c r="W15" i="1"/>
  <c r="W14" i="1"/>
  <c r="W13" i="1"/>
  <c r="W12" i="1"/>
  <c r="M16" i="1"/>
  <c r="M17" i="1"/>
  <c r="M15" i="1"/>
  <c r="M14" i="1"/>
  <c r="M13" i="1"/>
  <c r="W19" i="1" l="1"/>
  <c r="M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<sst xmlns="http://schemas.openxmlformats.org/spreadsheetml/2006/main" count="40" uniqueCount="23">
  <si>
    <t>CUBES</t>
  </si>
  <si>
    <t>BALLS</t>
  </si>
  <si>
    <t>TCP_X</t>
  </si>
  <si>
    <t>TCP_Y</t>
  </si>
  <si>
    <t>X</t>
  </si>
  <si>
    <t>Y</t>
  </si>
  <si>
    <t>Error_X</t>
  </si>
  <si>
    <t>Error_Y</t>
  </si>
  <si>
    <t>Average</t>
  </si>
  <si>
    <t>Absolute_Error</t>
  </si>
  <si>
    <t>DL</t>
  </si>
  <si>
    <t>DC</t>
  </si>
  <si>
    <t>DR</t>
  </si>
  <si>
    <t>CR</t>
  </si>
  <si>
    <t>UR</t>
  </si>
  <si>
    <t>UC</t>
  </si>
  <si>
    <t>UL</t>
  </si>
  <si>
    <t>CL</t>
  </si>
  <si>
    <t>CC</t>
  </si>
  <si>
    <t>Then use your reference system to measure that position (X, Y)</t>
  </si>
  <si>
    <t>Measure the position where the object is. (TCP_X, TCP_Y)</t>
  </si>
  <si>
    <t>Repeat the process in 8 more positions to obtain a good result</t>
  </si>
  <si>
    <t>To get the most precise result, increase the number of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</si>
</sst>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D6D6-EE54-4064-AE5E-1FE7650CB78C}">
  <dimension ref="E2:W22"/>
  <sheetViews>
    <sheetView tabSelected="1" workbookViewId="0">
      <selection activeCell="E5" sqref="E5"/>
    </sheetView>
  </sheetViews>
  <sheetFormatPr baseColWidth="10" defaultRowHeight="14.4" x14ac:dyDescent="0.3"/>
  <cols>
    <col min="13" max="13" width="16.77734375" customWidth="1"/>
    <col min="22" max="22" width="17.21875" customWidth="1"/>
    <col min="23" max="23" width="20.6640625" customWidth="1"/>
  </cols>
  <sheetData>
    <row r="2" spans="5:23" x14ac:dyDescent="0.3">
      <c r="G2" s="10" t="s">
        <v>20</v>
      </c>
    </row>
    <row r="3" spans="5:23" x14ac:dyDescent="0.3">
      <c r="G3" s="10" t="s">
        <v>19</v>
      </c>
    </row>
    <row r="4" spans="5:23" x14ac:dyDescent="0.3">
      <c r="G4" s="10" t="s">
        <v>21</v>
      </c>
    </row>
    <row r="5" spans="5:23" x14ac:dyDescent="0.3">
      <c r="G5" s="10" t="s">
        <v>22</v>
      </c>
    </row>
    <row r="9" spans="5:23" ht="15.6" x14ac:dyDescent="0.3">
      <c r="E9" s="7"/>
      <c r="F9" s="1" t="s">
        <v>1</v>
      </c>
      <c r="G9" s="2" t="s">
        <v>2</v>
      </c>
      <c r="H9" s="2" t="s">
        <v>3</v>
      </c>
      <c r="I9" s="2" t="s">
        <v>4</v>
      </c>
      <c r="J9" s="2" t="s">
        <v>5</v>
      </c>
      <c r="K9" s="2" t="s">
        <v>6</v>
      </c>
      <c r="L9" s="2" t="s">
        <v>7</v>
      </c>
      <c r="M9" s="2" t="s">
        <v>9</v>
      </c>
      <c r="P9" s="4" t="s">
        <v>0</v>
      </c>
      <c r="Q9" s="2" t="s">
        <v>2</v>
      </c>
      <c r="R9" s="2" t="s">
        <v>3</v>
      </c>
      <c r="S9" s="2" t="s">
        <v>4</v>
      </c>
      <c r="T9" s="2" t="s">
        <v>5</v>
      </c>
      <c r="U9" s="2" t="s">
        <v>6</v>
      </c>
      <c r="V9" s="2" t="s">
        <v>7</v>
      </c>
      <c r="W9" s="2" t="s">
        <v>9</v>
      </c>
    </row>
    <row r="10" spans="5:23" x14ac:dyDescent="0.3">
      <c r="E10" s="3" t="s">
        <v>11</v>
      </c>
      <c r="F10" s="3">
        <v>1</v>
      </c>
      <c r="G10" s="3">
        <v>622.92999999999995</v>
      </c>
      <c r="H10" s="3">
        <v>10.09</v>
      </c>
      <c r="I10" s="3">
        <v>627.1</v>
      </c>
      <c r="J10" s="3">
        <v>11.05</v>
      </c>
      <c r="K10" s="3">
        <f>G10-I10</f>
        <v>-4.1700000000000728</v>
      </c>
      <c r="L10" s="3">
        <f>H10-J10</f>
        <v>-0.96000000000000085</v>
      </c>
      <c r="M10" s="9">
        <f>SQRT(SUMSQ(K10,L10))</f>
        <v>4.2790770032801007</v>
      </c>
      <c r="O10" s="3" t="s">
        <v>10</v>
      </c>
      <c r="P10" s="5">
        <v>1</v>
      </c>
      <c r="Q10" s="3">
        <v>621.25</v>
      </c>
      <c r="R10" s="3">
        <v>-179.76</v>
      </c>
      <c r="S10" s="3">
        <v>631.11</v>
      </c>
      <c r="T10" s="3">
        <v>-178.13</v>
      </c>
      <c r="U10" s="3">
        <f t="shared" ref="U10:U18" si="0">Q10-S10</f>
        <v>-9.8600000000000136</v>
      </c>
      <c r="V10" s="3">
        <f t="shared" ref="V10:V18" si="1">R10-T10</f>
        <v>-1.6299999999999955</v>
      </c>
      <c r="W10" s="9">
        <f t="shared" ref="W10:W18" si="2">SQRT(SUMSQ(U10,V10))</f>
        <v>9.9938230922905706</v>
      </c>
    </row>
    <row r="11" spans="5:23" x14ac:dyDescent="0.3">
      <c r="E11" s="3" t="s">
        <v>12</v>
      </c>
      <c r="F11" s="3">
        <v>2</v>
      </c>
      <c r="G11" s="3">
        <v>618.36</v>
      </c>
      <c r="H11" s="3">
        <v>188.74</v>
      </c>
      <c r="I11" s="3">
        <v>611.08000000000004</v>
      </c>
      <c r="J11" s="3">
        <v>192.61</v>
      </c>
      <c r="K11" s="3">
        <f t="shared" ref="K11:K18" si="3">G11-I11</f>
        <v>7.2799999999999727</v>
      </c>
      <c r="L11" s="3">
        <f t="shared" ref="L11:L18" si="4">H11-J11</f>
        <v>-3.8700000000000045</v>
      </c>
      <c r="M11" s="9">
        <f>SQRT(SUMSQ(K11,L11))</f>
        <v>8.2447134577254797</v>
      </c>
      <c r="O11" s="3" t="s">
        <v>11</v>
      </c>
      <c r="P11" s="5">
        <v>2</v>
      </c>
      <c r="Q11" s="3">
        <v>622.25</v>
      </c>
      <c r="R11" s="3">
        <v>10.01</v>
      </c>
      <c r="S11" s="3">
        <v>624</v>
      </c>
      <c r="T11" s="3">
        <v>8.4499999999999993</v>
      </c>
      <c r="U11" s="3">
        <f t="shared" si="0"/>
        <v>-1.75</v>
      </c>
      <c r="V11" s="3">
        <f t="shared" si="1"/>
        <v>1.5600000000000005</v>
      </c>
      <c r="W11" s="9">
        <f t="shared" si="2"/>
        <v>2.3443762496664231</v>
      </c>
    </row>
    <row r="12" spans="5:23" x14ac:dyDescent="0.3">
      <c r="E12" s="3" t="s">
        <v>13</v>
      </c>
      <c r="F12" s="3">
        <v>3</v>
      </c>
      <c r="G12" s="3">
        <v>492.47</v>
      </c>
      <c r="H12" s="3">
        <v>188.04</v>
      </c>
      <c r="I12" s="3">
        <v>492.07</v>
      </c>
      <c r="J12" s="3">
        <v>193.3</v>
      </c>
      <c r="K12" s="3">
        <f t="shared" si="3"/>
        <v>0.40000000000003411</v>
      </c>
      <c r="L12" s="3">
        <f t="shared" si="4"/>
        <v>-5.2600000000000193</v>
      </c>
      <c r="M12" s="9">
        <f t="shared" ref="M12:M18" si="5">SQRT(SUMSQ(K12,L12))</f>
        <v>5.2751872004697837</v>
      </c>
      <c r="O12" s="3" t="s">
        <v>12</v>
      </c>
      <c r="P12" s="5">
        <v>3</v>
      </c>
      <c r="Q12" s="3">
        <v>615.87</v>
      </c>
      <c r="R12" s="3">
        <v>194.11</v>
      </c>
      <c r="S12" s="3">
        <v>612.42999999999995</v>
      </c>
      <c r="T12" s="3">
        <v>199.1</v>
      </c>
      <c r="U12" s="3">
        <f t="shared" si="0"/>
        <v>3.4400000000000546</v>
      </c>
      <c r="V12" s="3">
        <f t="shared" si="1"/>
        <v>-4.9899999999999807</v>
      </c>
      <c r="W12" s="9">
        <f t="shared" si="2"/>
        <v>6.0608332760438302</v>
      </c>
    </row>
    <row r="13" spans="5:23" x14ac:dyDescent="0.3">
      <c r="E13" s="3" t="s">
        <v>14</v>
      </c>
      <c r="F13" s="3">
        <v>4</v>
      </c>
      <c r="G13" s="3">
        <v>373.18</v>
      </c>
      <c r="H13" s="3">
        <v>191.27</v>
      </c>
      <c r="I13" s="3">
        <v>366.85</v>
      </c>
      <c r="J13" s="3">
        <v>195.25</v>
      </c>
      <c r="K13" s="3">
        <f>G13-I13</f>
        <v>6.3299999999999841</v>
      </c>
      <c r="L13" s="3">
        <f t="shared" si="4"/>
        <v>-3.9799999999999898</v>
      </c>
      <c r="M13" s="9">
        <f t="shared" si="5"/>
        <v>7.4772521690792075</v>
      </c>
      <c r="O13" s="3" t="s">
        <v>13</v>
      </c>
      <c r="P13" s="5">
        <v>4</v>
      </c>
      <c r="Q13" s="3">
        <v>524.57000000000005</v>
      </c>
      <c r="R13" s="3">
        <v>192.4</v>
      </c>
      <c r="S13" s="3">
        <v>518.73</v>
      </c>
      <c r="T13" s="3">
        <v>196.86</v>
      </c>
      <c r="U13" s="3">
        <f t="shared" si="0"/>
        <v>5.8400000000000318</v>
      </c>
      <c r="V13" s="3">
        <f t="shared" si="1"/>
        <v>-4.460000000000008</v>
      </c>
      <c r="W13" s="9">
        <f t="shared" si="2"/>
        <v>7.348278710010967</v>
      </c>
    </row>
    <row r="14" spans="5:23" x14ac:dyDescent="0.3">
      <c r="E14" s="3" t="s">
        <v>15</v>
      </c>
      <c r="F14" s="3">
        <v>5</v>
      </c>
      <c r="G14" s="3">
        <v>362.7</v>
      </c>
      <c r="H14" s="3">
        <v>5.59</v>
      </c>
      <c r="I14" s="3">
        <v>354.52</v>
      </c>
      <c r="J14" s="3">
        <v>5.57</v>
      </c>
      <c r="K14" s="3">
        <f t="shared" si="3"/>
        <v>8.1800000000000068</v>
      </c>
      <c r="L14" s="3">
        <f t="shared" si="4"/>
        <v>1.9999999999999574E-2</v>
      </c>
      <c r="M14" s="9">
        <f t="shared" si="5"/>
        <v>8.1800244498412162</v>
      </c>
      <c r="O14" s="3" t="s">
        <v>14</v>
      </c>
      <c r="P14" s="5">
        <v>5</v>
      </c>
      <c r="Q14" s="3">
        <v>370.23</v>
      </c>
      <c r="R14" s="3">
        <v>190.04</v>
      </c>
      <c r="S14" s="3">
        <v>370.31</v>
      </c>
      <c r="T14" s="3">
        <v>190.5</v>
      </c>
      <c r="U14" s="3">
        <f t="shared" si="0"/>
        <v>-7.9999999999984084E-2</v>
      </c>
      <c r="V14" s="3">
        <f t="shared" si="1"/>
        <v>-0.46000000000000796</v>
      </c>
      <c r="W14" s="9">
        <f t="shared" si="2"/>
        <v>0.46690470119715521</v>
      </c>
    </row>
    <row r="15" spans="5:23" x14ac:dyDescent="0.3">
      <c r="E15" s="3" t="s">
        <v>16</v>
      </c>
      <c r="F15" s="3">
        <v>6</v>
      </c>
      <c r="G15" s="3">
        <v>366.09</v>
      </c>
      <c r="H15" s="3">
        <v>-184.66</v>
      </c>
      <c r="I15" s="3">
        <v>363.91</v>
      </c>
      <c r="J15" s="3">
        <v>-184.21</v>
      </c>
      <c r="K15" s="3">
        <f t="shared" si="3"/>
        <v>2.17999999999995</v>
      </c>
      <c r="L15" s="3">
        <f t="shared" si="4"/>
        <v>-0.44999999999998863</v>
      </c>
      <c r="M15" s="9">
        <f t="shared" si="5"/>
        <v>2.2259604668546502</v>
      </c>
      <c r="O15" s="3" t="s">
        <v>15</v>
      </c>
      <c r="P15" s="5">
        <v>6</v>
      </c>
      <c r="Q15" s="3">
        <v>371.55</v>
      </c>
      <c r="R15" s="3">
        <v>11.89</v>
      </c>
      <c r="S15" s="3">
        <v>365.43</v>
      </c>
      <c r="T15" s="3">
        <v>13.74</v>
      </c>
      <c r="U15" s="3">
        <f t="shared" si="0"/>
        <v>6.1200000000000045</v>
      </c>
      <c r="V15" s="3">
        <f t="shared" si="1"/>
        <v>-1.8499999999999996</v>
      </c>
      <c r="W15" s="9">
        <f t="shared" si="2"/>
        <v>6.3935045163040325</v>
      </c>
    </row>
    <row r="16" spans="5:23" x14ac:dyDescent="0.3">
      <c r="E16" s="3" t="s">
        <v>17</v>
      </c>
      <c r="F16" s="3">
        <v>7</v>
      </c>
      <c r="G16" s="3">
        <v>500.05</v>
      </c>
      <c r="H16" s="3">
        <v>-185.84</v>
      </c>
      <c r="I16" s="3">
        <v>501.26</v>
      </c>
      <c r="J16" s="3">
        <v>-185.89</v>
      </c>
      <c r="K16" s="3">
        <f t="shared" si="3"/>
        <v>-1.2099999999999795</v>
      </c>
      <c r="L16" s="3">
        <f t="shared" si="4"/>
        <v>4.9999999999982947E-2</v>
      </c>
      <c r="M16" s="9">
        <f t="shared" si="5"/>
        <v>1.2110326172320665</v>
      </c>
      <c r="O16" s="3" t="s">
        <v>16</v>
      </c>
      <c r="P16" s="5">
        <v>7</v>
      </c>
      <c r="Q16" s="3">
        <v>378.51</v>
      </c>
      <c r="R16" s="3">
        <v>-185.06</v>
      </c>
      <c r="S16" s="3">
        <v>376.02</v>
      </c>
      <c r="T16" s="3">
        <v>-188.28</v>
      </c>
      <c r="U16" s="3">
        <f t="shared" si="0"/>
        <v>2.4900000000000091</v>
      </c>
      <c r="V16" s="3">
        <f t="shared" si="1"/>
        <v>3.2199999999999989</v>
      </c>
      <c r="W16" s="9">
        <f t="shared" si="2"/>
        <v>4.0704422364160919</v>
      </c>
    </row>
    <row r="17" spans="5:23" x14ac:dyDescent="0.3">
      <c r="E17" s="3" t="s">
        <v>10</v>
      </c>
      <c r="F17" s="3">
        <v>8</v>
      </c>
      <c r="G17" s="3">
        <v>611.27</v>
      </c>
      <c r="H17" s="3">
        <v>-184.56</v>
      </c>
      <c r="I17" s="3">
        <v>611.54</v>
      </c>
      <c r="J17" s="3">
        <v>-184.53</v>
      </c>
      <c r="K17" s="3">
        <f t="shared" si="3"/>
        <v>-0.26999999999998181</v>
      </c>
      <c r="L17" s="3">
        <f t="shared" si="4"/>
        <v>-3.0000000000001137E-2</v>
      </c>
      <c r="M17" s="9">
        <f t="shared" si="5"/>
        <v>0.27166155414410453</v>
      </c>
      <c r="O17" s="3" t="s">
        <v>17</v>
      </c>
      <c r="P17" s="5">
        <v>8</v>
      </c>
      <c r="Q17" s="3">
        <v>490.18</v>
      </c>
      <c r="R17" s="3">
        <v>-186.48</v>
      </c>
      <c r="S17" s="3">
        <v>490.12</v>
      </c>
      <c r="T17" s="3">
        <v>-188.33</v>
      </c>
      <c r="U17" s="3">
        <f t="shared" si="0"/>
        <v>6.0000000000002274E-2</v>
      </c>
      <c r="V17" s="3">
        <f t="shared" si="1"/>
        <v>1.8500000000000227</v>
      </c>
      <c r="W17" s="9">
        <f t="shared" si="2"/>
        <v>1.8509727172489834</v>
      </c>
    </row>
    <row r="18" spans="5:23" x14ac:dyDescent="0.3">
      <c r="E18" s="3" t="s">
        <v>18</v>
      </c>
      <c r="F18" s="3">
        <v>9</v>
      </c>
      <c r="G18" s="3">
        <v>496.69</v>
      </c>
      <c r="H18" s="3">
        <v>2.69</v>
      </c>
      <c r="I18" s="3">
        <v>496.05</v>
      </c>
      <c r="J18" s="3">
        <v>3.67</v>
      </c>
      <c r="K18" s="3">
        <f t="shared" si="3"/>
        <v>0.63999999999998636</v>
      </c>
      <c r="L18" s="3">
        <f t="shared" si="4"/>
        <v>-0.98</v>
      </c>
      <c r="M18" s="9">
        <f t="shared" si="5"/>
        <v>1.1704699910719549</v>
      </c>
      <c r="O18" s="3" t="s">
        <v>18</v>
      </c>
      <c r="P18" s="5">
        <v>9</v>
      </c>
      <c r="Q18" s="3">
        <v>482.25</v>
      </c>
      <c r="R18" s="3">
        <v>0.04</v>
      </c>
      <c r="S18" s="3">
        <v>480.49</v>
      </c>
      <c r="T18" s="3">
        <v>1.53</v>
      </c>
      <c r="U18" s="3">
        <f t="shared" si="0"/>
        <v>1.7599999999999909</v>
      </c>
      <c r="V18" s="3">
        <f t="shared" si="1"/>
        <v>-1.49</v>
      </c>
      <c r="W18" s="9">
        <f t="shared" si="2"/>
        <v>2.3060138768012584</v>
      </c>
    </row>
    <row r="19" spans="5:23" ht="15.6" x14ac:dyDescent="0.3">
      <c r="E19" s="7"/>
      <c r="F19" s="6" t="s">
        <v>8</v>
      </c>
      <c r="G19" s="3"/>
      <c r="H19" s="3"/>
      <c r="I19" s="3"/>
      <c r="J19" s="3"/>
      <c r="K19" s="9" cm="1">
        <f t="array" ref="K19">AVERAGE(ABS(K10:K18))</f>
        <v>3.4066666666666632</v>
      </c>
      <c r="L19" s="9" cm="1">
        <f t="array" ref="L19">AVERAGE(ABS(L10:L18))</f>
        <v>1.7333333333333318</v>
      </c>
      <c r="M19" s="9">
        <f>AVERAGE(M10:M18)</f>
        <v>4.2594865455220621</v>
      </c>
      <c r="P19" s="6" t="s">
        <v>8</v>
      </c>
      <c r="Q19" s="3"/>
      <c r="R19" s="3"/>
      <c r="S19" s="3"/>
      <c r="T19" s="3"/>
      <c r="U19" s="9" cm="1">
        <f t="array" ref="U19">AVERAGE(ABS(U10:U18))</f>
        <v>3.4888888888888991</v>
      </c>
      <c r="V19" s="9" cm="1">
        <f t="array" ref="V19">AVERAGE(ABS(V10:V18))</f>
        <v>2.3900000000000015</v>
      </c>
      <c r="W19" s="9">
        <f>AVERAGE(W10:W18)</f>
        <v>4.5372388195532567</v>
      </c>
    </row>
    <row r="20" spans="5:23" x14ac:dyDescent="0.3">
      <c r="O20" s="8"/>
    </row>
    <row r="21" spans="5:23" x14ac:dyDescent="0.3">
      <c r="O21" s="8"/>
    </row>
    <row r="22" spans="5:23" x14ac:dyDescent="0.3">
      <c r="F22" s="7"/>
      <c r="O2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Vidal Selles</dc:creator>
  <cp:lastModifiedBy>Samuel Vidal Selles</cp:lastModifiedBy>
  <dcterms:created xsi:type="dcterms:W3CDTF">2026-05-15T12:35:29Z</dcterms:created>
  <dcterms:modified xsi:type="dcterms:W3CDTF">2026-06-03T14:06:29Z</dcterms:modified>
</cp:coreProperties>
</file>