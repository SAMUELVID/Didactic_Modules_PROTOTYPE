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Exel_files\"/>
    </mc:Choice>
  </mc:AlternateContent>
  <xr:revisionPtr revIDLastSave="0" documentId="13_ncr:1_{1CACF417-A617-4673-A86B-74BF3B9695DD}" xr6:coauthVersionLast="47" xr6:coauthVersionMax="47" xr10:uidLastSave="{00000000-0000-0000-0000-000000000000}"/>
  <bookViews>
    <workbookView xWindow="-108" yWindow="-108" windowWidth="23256" windowHeight="12456" xr2:uid="{7E1F3745-AC55-4A0D-9D75-C5C6B2603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" i="1" l="1"/>
  <c r="M16" i="1" l="1"/>
  <c r="I44" i="1" l="1"/>
  <c r="H44" i="1"/>
  <c r="J19" i="1" l="1"/>
  <c r="J21" i="1"/>
  <c r="J34" i="1"/>
  <c r="J15" i="1"/>
  <c r="J14" i="1"/>
  <c r="J26" i="1"/>
  <c r="J43" i="1"/>
  <c r="J25" i="1"/>
  <c r="J22" i="1"/>
  <c r="J33" i="1"/>
  <c r="J17" i="1"/>
  <c r="J38" i="1"/>
  <c r="J37" i="1"/>
  <c r="J36" i="1"/>
  <c r="J24" i="1"/>
  <c r="J35" i="1"/>
  <c r="J23" i="1"/>
  <c r="J32" i="1"/>
  <c r="J20" i="1"/>
  <c r="J31" i="1"/>
  <c r="J42" i="1"/>
  <c r="J30" i="1"/>
  <c r="J18" i="1"/>
  <c r="J41" i="1"/>
  <c r="J29" i="1"/>
  <c r="J40" i="1"/>
  <c r="J28" i="1"/>
  <c r="J16" i="1"/>
  <c r="J39" i="1"/>
  <c r="J27" i="1"/>
  <c r="L14" i="1" l="1"/>
  <c r="J44" i="1"/>
  <c r="M14" i="1" s="1"/>
</calcChain>
</file>

<file path=xl/sharedStrings.xml><?xml version="1.0" encoding="utf-8"?>
<sst xmlns="http://schemas.openxmlformats.org/spreadsheetml/2006/main" count="13" uniqueCount="11">
  <si>
    <t>X</t>
  </si>
  <si>
    <t>Y</t>
  </si>
  <si>
    <t>Fall Distance</t>
  </si>
  <si>
    <t>Deviation</t>
  </si>
  <si>
    <t>RP</t>
  </si>
  <si>
    <t>AVERAGE</t>
  </si>
  <si>
    <t>Put an object in a known position</t>
  </si>
  <si>
    <t>Tell the robot to pick it up and go to another position</t>
  </si>
  <si>
    <t>Then tell the robot to go back to the position the object was placed and leave it there again</t>
  </si>
  <si>
    <t>Go to the scanning position and write down the coordinates that appear on the screen</t>
  </si>
  <si>
    <t xml:space="preserve">Repeat the process 29 more 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</si>
</sst>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9BD8-0E70-4890-A062-2334675FCDBE}">
  <dimension ref="G7:N44"/>
  <sheetViews>
    <sheetView tabSelected="1" topLeftCell="A9" zoomScale="70" zoomScaleNormal="70" workbookViewId="0">
      <selection activeCell="P16" sqref="P16"/>
    </sheetView>
  </sheetViews>
  <sheetFormatPr baseColWidth="10" defaultRowHeight="14.4" x14ac:dyDescent="0.3"/>
  <sheetData>
    <row r="7" spans="7:14" x14ac:dyDescent="0.3">
      <c r="G7" t="s">
        <v>6</v>
      </c>
    </row>
    <row r="8" spans="7:14" x14ac:dyDescent="0.3">
      <c r="G8" t="s">
        <v>7</v>
      </c>
      <c r="K8" s="2"/>
      <c r="L8" s="2"/>
      <c r="M8" s="2"/>
      <c r="N8" s="2"/>
    </row>
    <row r="9" spans="7:14" x14ac:dyDescent="0.3">
      <c r="G9" t="s">
        <v>8</v>
      </c>
      <c r="K9" s="2"/>
      <c r="N9" s="2"/>
    </row>
    <row r="10" spans="7:14" x14ac:dyDescent="0.3">
      <c r="G10" t="s">
        <v>9</v>
      </c>
      <c r="K10" s="2"/>
      <c r="N10" s="2"/>
    </row>
    <row r="11" spans="7:14" x14ac:dyDescent="0.3">
      <c r="G11" t="s">
        <v>10</v>
      </c>
      <c r="K11" s="2"/>
      <c r="N11" s="2"/>
    </row>
    <row r="12" spans="7:14" x14ac:dyDescent="0.3">
      <c r="K12" s="2"/>
      <c r="N12" s="2"/>
    </row>
    <row r="13" spans="7:14" x14ac:dyDescent="0.3">
      <c r="G13" s="3"/>
      <c r="H13" s="1" t="s">
        <v>0</v>
      </c>
      <c r="I13" s="1" t="s">
        <v>1</v>
      </c>
      <c r="J13" s="1" t="s">
        <v>2</v>
      </c>
      <c r="K13" s="2"/>
      <c r="L13" s="1" t="s">
        <v>3</v>
      </c>
      <c r="M13" s="1" t="s">
        <v>4</v>
      </c>
      <c r="N13" s="2"/>
    </row>
    <row r="14" spans="7:14" x14ac:dyDescent="0.3">
      <c r="G14" s="4">
        <v>1</v>
      </c>
      <c r="H14" s="5">
        <v>508.04</v>
      </c>
      <c r="I14" s="5">
        <v>-99.43</v>
      </c>
      <c r="J14" s="1">
        <f>SQRT(SUM(POWER(H14-$H$44,2),POWER(I14-$I$44,2)))</f>
        <v>4.7844133275553551</v>
      </c>
      <c r="K14" s="2"/>
      <c r="L14" s="1">
        <f>_xlfn.STDEV.S(J14:J43)</f>
        <v>1.4565444235539335</v>
      </c>
      <c r="M14" s="1">
        <f>J44+3*L14</f>
        <v>7.0653369218911539</v>
      </c>
      <c r="N14" s="2"/>
    </row>
    <row r="15" spans="7:14" x14ac:dyDescent="0.3">
      <c r="G15" s="4">
        <v>2</v>
      </c>
      <c r="H15" s="5">
        <v>508.46</v>
      </c>
      <c r="I15" s="5">
        <v>-99.91</v>
      </c>
      <c r="J15" s="1">
        <f>SQRT(SUM(POWER(H15-$H$44,2),POWER(I15-$I$44,2)))</f>
        <v>4.2196695236581769</v>
      </c>
      <c r="K15" s="2"/>
      <c r="L15" s="1" t="s">
        <v>0</v>
      </c>
      <c r="M15" s="1">
        <f>3*_xlfn.STDEV.S(H14:H43)</f>
        <v>8.5881840037786077</v>
      </c>
      <c r="N15" s="2"/>
    </row>
    <row r="16" spans="7:14" x14ac:dyDescent="0.3">
      <c r="G16" s="4">
        <v>3</v>
      </c>
      <c r="H16" s="5">
        <v>508.64</v>
      </c>
      <c r="I16" s="5">
        <v>-99.5</v>
      </c>
      <c r="J16" s="1">
        <f>SQRT(SUM(POWER(H16-$H$44,2),POWER(I16-$I$44,2)))</f>
        <v>4.2080301276911252</v>
      </c>
      <c r="K16" s="2"/>
      <c r="L16" s="1" t="s">
        <v>1</v>
      </c>
      <c r="M16" s="1">
        <f>3*_xlfn.STDEV.S(I14:I43)</f>
        <v>3.6046322209451329</v>
      </c>
      <c r="N16" s="2"/>
    </row>
    <row r="17" spans="7:14" x14ac:dyDescent="0.3">
      <c r="G17" s="4">
        <v>4</v>
      </c>
      <c r="H17" s="5">
        <v>508.74</v>
      </c>
      <c r="I17" s="5">
        <v>-100.02</v>
      </c>
      <c r="J17" s="1">
        <f>SQRT(SUM(POWER(H17-$H$44,2),POWER(I17-$I$44,2)))</f>
        <v>3.9190931207218531</v>
      </c>
      <c r="K17" s="2"/>
      <c r="L17" s="2"/>
      <c r="M17" s="2"/>
      <c r="N17" s="2"/>
    </row>
    <row r="18" spans="7:14" x14ac:dyDescent="0.3">
      <c r="G18" s="4">
        <v>5</v>
      </c>
      <c r="H18" s="5">
        <v>509.08</v>
      </c>
      <c r="I18" s="5">
        <v>-99.81</v>
      </c>
      <c r="J18" s="1">
        <f>SQRT(SUM(POWER(H18-$H$44,2),POWER(I18-$I$44,2)))</f>
        <v>3.6789832230598889</v>
      </c>
      <c r="K18" s="2"/>
      <c r="L18" s="2"/>
      <c r="M18" s="2"/>
      <c r="N18" s="2"/>
    </row>
    <row r="19" spans="7:14" x14ac:dyDescent="0.3">
      <c r="G19" s="4">
        <v>6</v>
      </c>
      <c r="H19" s="5">
        <v>509.31</v>
      </c>
      <c r="I19" s="5">
        <v>-100.27</v>
      </c>
      <c r="J19" s="1">
        <f>SQRT(SUM(POWER(H19-$H$44,2),POWER(I19-$I$44,2)))</f>
        <v>3.2991510355780913</v>
      </c>
      <c r="K19" s="2"/>
      <c r="L19" s="2"/>
      <c r="M19" s="2"/>
      <c r="N19" s="2"/>
    </row>
    <row r="20" spans="7:14" x14ac:dyDescent="0.3">
      <c r="G20" s="4">
        <v>7</v>
      </c>
      <c r="H20" s="5">
        <v>509.7</v>
      </c>
      <c r="I20" s="5">
        <v>-100.15</v>
      </c>
      <c r="J20" s="1">
        <f>SQRT(SUM(POWER(H20-$H$44,2),POWER(I20-$I$44,2)))</f>
        <v>2.9751029487323613</v>
      </c>
      <c r="K20" s="2"/>
      <c r="L20" s="2"/>
      <c r="M20" s="2"/>
      <c r="N20" s="2"/>
    </row>
    <row r="21" spans="7:14" x14ac:dyDescent="0.3">
      <c r="G21" s="4">
        <v>8</v>
      </c>
      <c r="H21" s="5">
        <v>509.96</v>
      </c>
      <c r="I21" s="5">
        <v>-100.18</v>
      </c>
      <c r="J21" s="1">
        <f>SQRT(SUM(POWER(H21-$H$44,2),POWER(I21-$I$44,2)))</f>
        <v>2.7245643484581756</v>
      </c>
      <c r="K21" s="2"/>
      <c r="L21" s="2"/>
      <c r="M21" s="2"/>
      <c r="N21" s="2"/>
    </row>
    <row r="22" spans="7:14" x14ac:dyDescent="0.3">
      <c r="G22" s="4">
        <v>9</v>
      </c>
      <c r="H22" s="5">
        <v>510.12</v>
      </c>
      <c r="I22" s="5">
        <v>-100.26</v>
      </c>
      <c r="J22" s="1">
        <f>SQRT(SUM(POWER(H22-$H$44,2),POWER(I22-$I$44,2)))</f>
        <v>2.5458458101167838</v>
      </c>
      <c r="K22" s="2"/>
      <c r="L22" s="2"/>
      <c r="M22" s="2"/>
      <c r="N22" s="2"/>
    </row>
    <row r="23" spans="7:14" x14ac:dyDescent="0.3">
      <c r="G23" s="4">
        <v>10</v>
      </c>
      <c r="H23" s="5">
        <v>510.42</v>
      </c>
      <c r="I23" s="5">
        <v>-100.55</v>
      </c>
      <c r="J23" s="1">
        <f>SQRT(SUM(POWER(H23-$H$44,2),POWER(I23-$I$44,2)))</f>
        <v>2.1585514175535518</v>
      </c>
      <c r="K23" s="2"/>
      <c r="L23" s="2"/>
      <c r="M23" s="2"/>
      <c r="N23" s="2"/>
    </row>
    <row r="24" spans="7:14" x14ac:dyDescent="0.3">
      <c r="G24" s="4">
        <v>11</v>
      </c>
      <c r="H24" s="5">
        <v>510.71</v>
      </c>
      <c r="I24" s="5">
        <v>-100.77</v>
      </c>
      <c r="J24" s="1">
        <f>SQRT(SUM(POWER(H24-$H$44,2),POWER(I24-$I$44,2)))</f>
        <v>1.8135226004168086</v>
      </c>
      <c r="K24" s="2"/>
      <c r="L24" s="2"/>
      <c r="M24" s="2"/>
      <c r="N24" s="2"/>
    </row>
    <row r="25" spans="7:14" x14ac:dyDescent="0.3">
      <c r="G25" s="4">
        <v>12</v>
      </c>
      <c r="H25" s="5">
        <v>510.89</v>
      </c>
      <c r="I25" s="5">
        <v>-100.81</v>
      </c>
      <c r="J25" s="1">
        <f>SQRT(SUM(POWER(H25-$H$44,2),POWER(I25-$I$44,2)))</f>
        <v>1.6297149716711659</v>
      </c>
      <c r="K25" s="2"/>
      <c r="L25" s="2"/>
      <c r="M25" s="2"/>
      <c r="N25" s="2"/>
    </row>
    <row r="26" spans="7:14" x14ac:dyDescent="0.3">
      <c r="G26" s="4">
        <v>13</v>
      </c>
      <c r="H26" s="5">
        <v>511.42</v>
      </c>
      <c r="I26" s="5">
        <v>-100.93</v>
      </c>
      <c r="J26" s="1">
        <f>SQRT(SUM(POWER(H26-$H$44,2),POWER(I26-$I$44,2)))</f>
        <v>1.0889004647911256</v>
      </c>
      <c r="K26" s="2"/>
      <c r="L26" s="2"/>
      <c r="M26" s="2"/>
      <c r="N26" s="2"/>
    </row>
    <row r="27" spans="7:14" x14ac:dyDescent="0.3">
      <c r="G27" s="4">
        <v>14</v>
      </c>
      <c r="H27" s="5">
        <v>511.64</v>
      </c>
      <c r="I27" s="5">
        <v>-100.96</v>
      </c>
      <c r="J27" s="1">
        <f>SQRT(SUM(POWER(H27-$H$44,2),POWER(I27-$I$44,2)))</f>
        <v>0.87279487217159346</v>
      </c>
      <c r="K27" s="2"/>
      <c r="L27" s="2"/>
      <c r="M27" s="2"/>
      <c r="N27" s="2"/>
    </row>
    <row r="28" spans="7:14" x14ac:dyDescent="0.3">
      <c r="G28" s="4">
        <v>15</v>
      </c>
      <c r="H28" s="5">
        <v>512.1</v>
      </c>
      <c r="I28" s="5">
        <v>-101.12</v>
      </c>
      <c r="J28" s="1">
        <f>SQRT(SUM(POWER(H28-$H$44,2),POWER(I28-$I$44,2)))</f>
        <v>0.38774246894330927</v>
      </c>
      <c r="K28" s="2"/>
      <c r="L28" s="2"/>
      <c r="M28" s="2"/>
      <c r="N28" s="2"/>
    </row>
    <row r="29" spans="7:14" x14ac:dyDescent="0.3">
      <c r="G29" s="4">
        <v>16</v>
      </c>
      <c r="H29" s="5">
        <v>512.52</v>
      </c>
      <c r="I29" s="5">
        <v>-101.37</v>
      </c>
      <c r="J29" s="1">
        <f>SQRT(SUM(POWER(H29-$H$44,2),POWER(I29-$I$44,2)))</f>
        <v>0.10512320813634264</v>
      </c>
      <c r="K29" s="2"/>
      <c r="L29" s="2"/>
    </row>
    <row r="30" spans="7:14" x14ac:dyDescent="0.3">
      <c r="G30" s="4">
        <v>17</v>
      </c>
      <c r="H30" s="5">
        <v>512.98</v>
      </c>
      <c r="I30" s="5">
        <v>-101.47</v>
      </c>
      <c r="J30" s="1">
        <f>SQRT(SUM(POWER(H30-$H$44,2),POWER(I30-$I$44,2)))</f>
        <v>0.56205357593575167</v>
      </c>
      <c r="K30" s="2"/>
      <c r="L30" s="2"/>
    </row>
    <row r="31" spans="7:14" x14ac:dyDescent="0.3">
      <c r="G31" s="4">
        <v>18</v>
      </c>
      <c r="H31" s="5">
        <v>513.30999999999995</v>
      </c>
      <c r="I31" s="5">
        <v>-101.58</v>
      </c>
      <c r="J31" s="1">
        <f>SQRT(SUM(POWER(H31-$H$44,2),POWER(I31-$I$44,2)))</f>
        <v>0.90989975027765457</v>
      </c>
      <c r="K31" s="2"/>
      <c r="L31" s="2"/>
      <c r="M31" s="2"/>
      <c r="N31" s="2"/>
    </row>
    <row r="32" spans="7:14" x14ac:dyDescent="0.3">
      <c r="G32" s="4">
        <v>19</v>
      </c>
      <c r="H32" s="5">
        <v>513.66</v>
      </c>
      <c r="I32" s="5">
        <v>-101.71</v>
      </c>
      <c r="J32" s="1">
        <f>SQRT(SUM(POWER(H32-$H$44,2),POWER(I32-$I$44,2)))</f>
        <v>1.2830734801854886</v>
      </c>
      <c r="K32" s="2"/>
      <c r="L32" s="2"/>
      <c r="M32" s="2"/>
      <c r="N32" s="2"/>
    </row>
    <row r="33" spans="7:14" x14ac:dyDescent="0.3">
      <c r="G33" s="4">
        <v>20</v>
      </c>
      <c r="H33" s="5">
        <v>514</v>
      </c>
      <c r="I33" s="5">
        <v>-101.77</v>
      </c>
      <c r="J33" s="1">
        <f>SQRT(SUM(POWER(H33-$H$44,2),POWER(I33-$I$44,2)))</f>
        <v>1.625098219253839</v>
      </c>
      <c r="K33" s="2"/>
      <c r="L33" s="2"/>
      <c r="M33" s="2"/>
      <c r="N33" s="2"/>
    </row>
    <row r="34" spans="7:14" x14ac:dyDescent="0.3">
      <c r="G34" s="4">
        <v>21</v>
      </c>
      <c r="H34" s="5">
        <v>514.33000000000004</v>
      </c>
      <c r="I34" s="5">
        <v>-101.36</v>
      </c>
      <c r="J34" s="1">
        <f>SQRT(SUM(POWER(H34-$H$44,2),POWER(I34-$I$44,2)))</f>
        <v>1.8854312209382691</v>
      </c>
      <c r="K34" s="2"/>
      <c r="L34" s="2"/>
      <c r="M34" s="2"/>
      <c r="N34" s="2"/>
    </row>
    <row r="35" spans="7:14" x14ac:dyDescent="0.3">
      <c r="G35" s="4">
        <v>22</v>
      </c>
      <c r="H35" s="5">
        <v>514.71</v>
      </c>
      <c r="I35" s="5">
        <v>-102.02</v>
      </c>
      <c r="J35" s="1">
        <f>SQRT(SUM(POWER(H35-$H$44,2),POWER(I35-$I$44,2)))</f>
        <v>2.3773649745510386</v>
      </c>
      <c r="K35" s="2"/>
      <c r="L35" s="2"/>
      <c r="M35" s="2"/>
      <c r="N35" s="2"/>
    </row>
    <row r="36" spans="7:14" x14ac:dyDescent="0.3">
      <c r="G36" s="4">
        <v>23</v>
      </c>
      <c r="H36" s="5">
        <v>514.97</v>
      </c>
      <c r="I36" s="5">
        <v>-101.72</v>
      </c>
      <c r="J36" s="1">
        <f>SQRT(SUM(POWER(H36-$H$44,2),POWER(I36-$I$44,2)))</f>
        <v>2.5597495103145018</v>
      </c>
      <c r="K36" s="2"/>
      <c r="L36" s="2"/>
      <c r="M36" s="2"/>
      <c r="N36" s="2"/>
    </row>
    <row r="37" spans="7:14" x14ac:dyDescent="0.3">
      <c r="G37" s="4">
        <v>24</v>
      </c>
      <c r="H37" s="5">
        <v>515.5</v>
      </c>
      <c r="I37" s="5">
        <v>-102.96</v>
      </c>
      <c r="J37" s="1">
        <f>SQRT(SUM(POWER(H37-$H$44,2),POWER(I37-$I$44,2)))</f>
        <v>3.4783555821041512</v>
      </c>
      <c r="K37" s="2"/>
      <c r="L37" s="2"/>
      <c r="M37" s="2"/>
      <c r="N37" s="2"/>
    </row>
    <row r="38" spans="7:14" x14ac:dyDescent="0.3">
      <c r="G38" s="4">
        <v>25</v>
      </c>
      <c r="H38" s="5">
        <v>515.67999999999995</v>
      </c>
      <c r="I38" s="5">
        <v>-102.7</v>
      </c>
      <c r="J38" s="1">
        <f>SQRT(SUM(POWER(H38-$H$44,2),POWER(I38-$I$44,2)))</f>
        <v>3.5260550509346071</v>
      </c>
      <c r="K38" s="2"/>
      <c r="L38" s="2"/>
      <c r="M38" s="2"/>
      <c r="N38" s="2"/>
    </row>
    <row r="39" spans="7:14" x14ac:dyDescent="0.3">
      <c r="G39" s="4">
        <v>26</v>
      </c>
      <c r="H39" s="5">
        <v>515.94000000000005</v>
      </c>
      <c r="I39" s="5">
        <v>-102.51</v>
      </c>
      <c r="J39" s="1">
        <f>SQRT(SUM(POWER(H39-$H$44,2),POWER(I39-$I$44,2)))</f>
        <v>3.6993203279641502</v>
      </c>
      <c r="K39" s="2"/>
      <c r="L39" s="2"/>
      <c r="M39" s="2"/>
      <c r="N39" s="2"/>
    </row>
    <row r="40" spans="7:14" x14ac:dyDescent="0.3">
      <c r="G40" s="4">
        <v>27</v>
      </c>
      <c r="H40" s="5">
        <v>516.28</v>
      </c>
      <c r="I40" s="5">
        <v>-103.27</v>
      </c>
      <c r="J40" s="1">
        <f>SQRT(SUM(POWER(H40-$H$44,2),POWER(I40-$I$44,2)))</f>
        <v>4.3127838135271119</v>
      </c>
    </row>
    <row r="41" spans="7:14" x14ac:dyDescent="0.3">
      <c r="G41" s="4">
        <v>28</v>
      </c>
      <c r="H41" s="5">
        <v>516.53</v>
      </c>
      <c r="I41" s="5">
        <v>-103.55</v>
      </c>
      <c r="J41" s="1">
        <f>SQRT(SUM(POWER(H41-$H$44,2),POWER(I41-$I$44,2)))</f>
        <v>4.6651685452462219</v>
      </c>
    </row>
    <row r="42" spans="7:14" x14ac:dyDescent="0.3">
      <c r="G42" s="4">
        <v>29</v>
      </c>
      <c r="H42" s="5">
        <v>516.66</v>
      </c>
      <c r="I42" s="5">
        <v>-102.65</v>
      </c>
      <c r="J42" s="1">
        <f>SQRT(SUM(POWER(H42-$H$44,2),POWER(I42-$I$44,2)))</f>
        <v>4.4266041411245904</v>
      </c>
    </row>
    <row r="43" spans="7:14" x14ac:dyDescent="0.3">
      <c r="G43" s="4">
        <v>30</v>
      </c>
      <c r="H43" s="5">
        <v>517.07000000000005</v>
      </c>
      <c r="I43" s="5">
        <v>-103.56</v>
      </c>
      <c r="J43" s="1">
        <f>SQRT(SUM(POWER(H43-$H$44,2),POWER(I43-$I$44,2)))</f>
        <v>5.1489478752675337</v>
      </c>
    </row>
    <row r="44" spans="7:14" x14ac:dyDescent="0.3">
      <c r="G44" s="1" t="s">
        <v>5</v>
      </c>
      <c r="H44" s="1">
        <f>AVERAGE(H14:H43)</f>
        <v>512.44566666666674</v>
      </c>
      <c r="I44" s="1">
        <f>AVERAGE(I14:I43)</f>
        <v>-101.29566666666666</v>
      </c>
      <c r="J44" s="1">
        <f>AVERAGE(J14:J43)</f>
        <v>2.6957036512293531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2026-05-17T11:16:03Z</dcterms:created>
  <dcterms:modified xsi:type="dcterms:W3CDTF">2026-06-03T14:10:54Z</dcterms:modified>
</cp:coreProperties>
</file>