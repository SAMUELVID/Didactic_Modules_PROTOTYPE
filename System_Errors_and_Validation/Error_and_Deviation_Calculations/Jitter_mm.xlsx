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ÖVDE\TFG\AppDevelopment\Main_Files\"/>
    </mc:Choice>
  </mc:AlternateContent>
  <xr:revisionPtr revIDLastSave="0" documentId="13_ncr:1_{5AFE6A03-87EE-4A90-B655-7AA769A69C10}" xr6:coauthVersionLast="47" xr6:coauthVersionMax="47" xr10:uidLastSave="{00000000-0000-0000-0000-000000000000}"/>
  <bookViews>
    <workbookView xWindow="-96" yWindow="0" windowWidth="11712" windowHeight="12336" xr2:uid="{03E3C9A9-EF1B-477B-95ED-6ECEA823D4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1" l="1"/>
  <c r="K15" i="1"/>
  <c r="M14" i="1"/>
  <c r="M6" i="1"/>
  <c r="K10" i="1"/>
  <c r="K11" i="1"/>
  <c r="K9" i="1"/>
  <c r="M10" i="1"/>
  <c r="M9" i="1"/>
  <c r="M11" i="1" s="1"/>
  <c r="M15" i="1" l="1"/>
  <c r="K14" i="1" l="1"/>
</calcChain>
</file>

<file path=xl/sharedStrings.xml><?xml version="1.0" encoding="utf-8"?>
<sst xmlns="http://schemas.openxmlformats.org/spreadsheetml/2006/main" count="38" uniqueCount="19">
  <si>
    <t>Distance of movement (mm):</t>
  </si>
  <si>
    <t>Factor (mm/px):</t>
  </si>
  <si>
    <t>Jitter deviation_x:</t>
  </si>
  <si>
    <t>Jitter deviation_y:</t>
  </si>
  <si>
    <t>Jitter_x (mm)</t>
  </si>
  <si>
    <t>Jitter_y (mm)</t>
  </si>
  <si>
    <t>Put the distance your going to move the camera or object in Distance movement</t>
  </si>
  <si>
    <t>Take the measure in pixels of the starting position and the moved position</t>
  </si>
  <si>
    <t>This last two values come from the program Jittering_px.py</t>
  </si>
  <si>
    <t>Initial measure_x (px):</t>
  </si>
  <si>
    <t>Final measure_x (px):</t>
  </si>
  <si>
    <t>Initial measure_y (px):</t>
  </si>
  <si>
    <t>Final measure_y (px):</t>
  </si>
  <si>
    <t>Distance_x (px):</t>
  </si>
  <si>
    <t>Distance_y (px):</t>
  </si>
  <si>
    <t>Distance_total (px):</t>
  </si>
  <si>
    <t>BLACK</t>
  </si>
  <si>
    <t>BLUE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</si>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</sst>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4" borderId="0" xfId="0" applyFont="1" applyFill="1"/>
    <xf numFmtId="0" fontId="0" fillId="3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03AB-D212-4D29-8D0C-34CF110C5782}">
  <dimension ref="C3:M18"/>
  <sheetViews>
    <sheetView tabSelected="1" topLeftCell="C1" workbookViewId="0">
      <selection activeCell="M6" sqref="M6"/>
    </sheetView>
  </sheetViews>
  <sheetFormatPr baseColWidth="10" defaultRowHeight="14.4" x14ac:dyDescent="0.3"/>
  <cols>
    <col min="3" max="3" width="17" customWidth="1"/>
    <col min="4" max="4" width="18.44140625" customWidth="1"/>
    <col min="5" max="5" width="17.88671875" customWidth="1"/>
    <col min="6" max="6" width="20.44140625" customWidth="1"/>
    <col min="8" max="8" width="16.21875" customWidth="1"/>
    <col min="10" max="10" width="17" customWidth="1"/>
    <col min="12" max="12" width="17.6640625" customWidth="1"/>
  </cols>
  <sheetData>
    <row r="3" spans="3:13" x14ac:dyDescent="0.3">
      <c r="E3" t="s">
        <v>6</v>
      </c>
    </row>
    <row r="4" spans="3:13" x14ac:dyDescent="0.3">
      <c r="E4" t="s">
        <v>7</v>
      </c>
    </row>
    <row r="5" spans="3:13" x14ac:dyDescent="0.3">
      <c r="J5" s="10" t="s">
        <v>16</v>
      </c>
      <c r="K5" s="10"/>
      <c r="L5" s="2" t="s">
        <v>1</v>
      </c>
      <c r="M5" s="2">
        <f>ABS($G$6)/ABS(K11)</f>
        <v>0.21451241161198098</v>
      </c>
    </row>
    <row r="6" spans="3:13" x14ac:dyDescent="0.3">
      <c r="E6" s="9" t="s">
        <v>0</v>
      </c>
      <c r="F6" s="9"/>
      <c r="G6" s="1">
        <v>20</v>
      </c>
      <c r="J6" s="11" t="s">
        <v>17</v>
      </c>
      <c r="K6" s="12"/>
      <c r="L6" s="3" t="s">
        <v>1</v>
      </c>
      <c r="M6" s="3">
        <f>ABS($G$6)/ABS(M11)</f>
        <v>0.72390136321719234</v>
      </c>
    </row>
    <row r="8" spans="3:13" x14ac:dyDescent="0.3">
      <c r="D8" s="10" t="s">
        <v>16</v>
      </c>
      <c r="E8" s="10"/>
      <c r="F8" s="13" t="s">
        <v>17</v>
      </c>
      <c r="G8" s="13"/>
      <c r="J8" s="10" t="s">
        <v>16</v>
      </c>
      <c r="K8" s="10"/>
      <c r="L8" s="13" t="s">
        <v>17</v>
      </c>
      <c r="M8" s="13"/>
    </row>
    <row r="9" spans="3:13" x14ac:dyDescent="0.3">
      <c r="D9" s="4" t="s">
        <v>9</v>
      </c>
      <c r="E9" s="4">
        <v>321.93400000000003</v>
      </c>
      <c r="F9" s="4" t="s">
        <v>9</v>
      </c>
      <c r="G9" s="4">
        <v>323.68799999999999</v>
      </c>
      <c r="J9" s="4" t="s">
        <v>13</v>
      </c>
      <c r="K9" s="6">
        <f>E10-E9</f>
        <v>-29.469000000000051</v>
      </c>
      <c r="L9" s="4" t="s">
        <v>13</v>
      </c>
      <c r="M9" s="6">
        <f>G10-G9</f>
        <v>-27.617999999999995</v>
      </c>
    </row>
    <row r="10" spans="3:13" x14ac:dyDescent="0.3">
      <c r="D10" s="4" t="s">
        <v>10</v>
      </c>
      <c r="E10" s="4">
        <v>292.46499999999997</v>
      </c>
      <c r="F10" s="4" t="s">
        <v>10</v>
      </c>
      <c r="G10" s="4">
        <v>296.07</v>
      </c>
      <c r="J10" s="4" t="s">
        <v>14</v>
      </c>
      <c r="K10" s="6">
        <f>E12-E11</f>
        <v>-88.454999999999984</v>
      </c>
      <c r="L10" s="4" t="s">
        <v>14</v>
      </c>
      <c r="M10" s="6">
        <f>G12-G11</f>
        <v>0.7459999999999809</v>
      </c>
    </row>
    <row r="11" spans="3:13" x14ac:dyDescent="0.3">
      <c r="D11" s="4" t="s">
        <v>11</v>
      </c>
      <c r="E11" s="4">
        <v>322.20999999999998</v>
      </c>
      <c r="F11" s="4" t="s">
        <v>11</v>
      </c>
      <c r="G11" s="4">
        <v>235.88200000000001</v>
      </c>
      <c r="J11" s="4" t="s">
        <v>15</v>
      </c>
      <c r="K11" s="6">
        <f>SQRT(SUM(POWER(K9,2),POWER(K10,2)))</f>
        <v>93.234698401399896</v>
      </c>
      <c r="L11" s="4" t="s">
        <v>15</v>
      </c>
      <c r="M11" s="6">
        <f>SQRT(SUM(POWER(M9,2),POWER(M10,2)))</f>
        <v>27.628073403695737</v>
      </c>
    </row>
    <row r="12" spans="3:13" x14ac:dyDescent="0.3">
      <c r="D12" s="4" t="s">
        <v>12</v>
      </c>
      <c r="E12" s="4">
        <v>233.755</v>
      </c>
      <c r="F12" s="4" t="s">
        <v>12</v>
      </c>
      <c r="G12" s="4">
        <v>236.62799999999999</v>
      </c>
    </row>
    <row r="13" spans="3:13" x14ac:dyDescent="0.3">
      <c r="J13" s="10" t="s">
        <v>16</v>
      </c>
      <c r="K13" s="10"/>
      <c r="L13" s="11" t="s">
        <v>17</v>
      </c>
      <c r="M13" s="12"/>
    </row>
    <row r="14" spans="3:13" x14ac:dyDescent="0.3">
      <c r="J14" s="4" t="s">
        <v>4</v>
      </c>
      <c r="K14" s="6">
        <f>D17*$M$5</f>
        <v>8.0249093184042081E-2</v>
      </c>
      <c r="L14" s="4" t="s">
        <v>4</v>
      </c>
      <c r="M14" s="6">
        <f>G17*$M$6</f>
        <v>0.21528826542079299</v>
      </c>
    </row>
    <row r="15" spans="3:13" x14ac:dyDescent="0.3">
      <c r="C15" s="14" t="s">
        <v>8</v>
      </c>
      <c r="D15" s="14"/>
      <c r="E15" s="14"/>
      <c r="F15" s="14"/>
      <c r="G15" s="14"/>
      <c r="J15" s="4" t="s">
        <v>5</v>
      </c>
      <c r="K15" s="6">
        <f>D18*$M$5</f>
        <v>0.13381284236355373</v>
      </c>
      <c r="L15" s="4" t="s">
        <v>5</v>
      </c>
      <c r="M15" s="6">
        <f>G18*$M$6</f>
        <v>0.2367157457720219</v>
      </c>
    </row>
    <row r="16" spans="3:13" x14ac:dyDescent="0.3">
      <c r="C16" s="10" t="s">
        <v>16</v>
      </c>
      <c r="D16" s="10"/>
      <c r="F16" s="13" t="s">
        <v>18</v>
      </c>
      <c r="G16" s="13"/>
    </row>
    <row r="17" spans="3:7" x14ac:dyDescent="0.3">
      <c r="C17" s="5" t="s">
        <v>2</v>
      </c>
      <c r="D17" s="6">
        <v>0.37409999999999999</v>
      </c>
      <c r="E17" s="7"/>
      <c r="F17" s="8" t="s">
        <v>2</v>
      </c>
      <c r="G17" s="6">
        <v>0.2974</v>
      </c>
    </row>
    <row r="18" spans="3:7" x14ac:dyDescent="0.3">
      <c r="C18" s="5" t="s">
        <v>3</v>
      </c>
      <c r="D18" s="6">
        <v>0.62380000000000002</v>
      </c>
      <c r="E18" s="7"/>
      <c r="F18" s="8" t="s">
        <v>3</v>
      </c>
      <c r="G18" s="6">
        <v>0.32700000000000001</v>
      </c>
    </row>
  </sheetData>
  <mergeCells count="12">
    <mergeCell ref="L13:M13"/>
    <mergeCell ref="L8:M8"/>
    <mergeCell ref="C16:D16"/>
    <mergeCell ref="F16:G16"/>
    <mergeCell ref="C15:G15"/>
    <mergeCell ref="E6:F6"/>
    <mergeCell ref="J13:K13"/>
    <mergeCell ref="J5:K5"/>
    <mergeCell ref="J6:K6"/>
    <mergeCell ref="D8:E8"/>
    <mergeCell ref="F8:G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Vidal Selles</dc:creator>
  <cp:lastModifiedBy>Samuel Vidal Selles</cp:lastModifiedBy>
  <dcterms:created xsi:type="dcterms:W3CDTF">2026-05-15T22:46:57Z</dcterms:created>
  <dcterms:modified xsi:type="dcterms:W3CDTF">2026-05-19T20:27:07Z</dcterms:modified>
</cp:coreProperties>
</file>