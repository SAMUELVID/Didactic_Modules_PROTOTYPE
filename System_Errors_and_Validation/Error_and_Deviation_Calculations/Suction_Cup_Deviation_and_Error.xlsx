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KÖVDE\TFG\AppDevelopment\Main_Files\Exel_files\"/>
    </mc:Choice>
  </mc:AlternateContent>
  <xr:revisionPtr revIDLastSave="0" documentId="13_ncr:1_{C7CA3287-BFDD-43E5-91F8-17F7B5B4BBF2}" xr6:coauthVersionLast="47" xr6:coauthVersionMax="47" xr10:uidLastSave="{00000000-0000-0000-0000-000000000000}"/>
  <bookViews>
    <workbookView xWindow="-108" yWindow="-108" windowWidth="23256" windowHeight="12456" xr2:uid="{D906D06F-6985-45B6-99DA-796767E328F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37" i="1" l="1"/>
  <c r="L7" i="1" s="1"/>
  <c r="H37" i="1"/>
  <c r="L6" i="1" s="1"/>
  <c r="L9" i="1" l="1"/>
</calcChain>
</file>

<file path=xl/sharedStrings.xml><?xml version="1.0" encoding="utf-8"?>
<sst xmlns="http://schemas.openxmlformats.org/spreadsheetml/2006/main" count="13" uniqueCount="13">
  <si>
    <t>X</t>
  </si>
  <si>
    <t>Y</t>
  </si>
  <si>
    <t>Deviation</t>
  </si>
  <si>
    <t>JitterX</t>
  </si>
  <si>
    <t>JitterY</t>
  </si>
  <si>
    <t>ErrorX</t>
  </si>
  <si>
    <t>ErrorY</t>
  </si>
  <si>
    <t>You get these values from the Jitter_mm Excel</t>
  </si>
  <si>
    <t>Total Error</t>
  </si>
  <si>
    <t>Put an object in a known position</t>
  </si>
  <si>
    <t>and instruct the robot to pick it up lift it abobe said position and drop it gently again</t>
  </si>
  <si>
    <t xml:space="preserve">Put the robot in the scanning position and write down the coordinates </t>
  </si>
  <si>
    <t>Repeat the process another 29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</si>
</sst>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0" xfId="0" applyNumberFormat="1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F6E8F-402F-4095-B776-38CC99633C93}">
  <dimension ref="G1:N37"/>
  <sheetViews>
    <sheetView tabSelected="1" zoomScale="70" zoomScaleNormal="70" workbookViewId="0">
      <selection activeCell="E9" sqref="E9"/>
    </sheetView>
  </sheetViews>
  <sheetFormatPr baseColWidth="10" defaultRowHeight="14.4" x14ac:dyDescent="0.3"/>
  <sheetData>
    <row r="1" spans="7:14" x14ac:dyDescent="0.3">
      <c r="G1" t="s">
        <v>9</v>
      </c>
    </row>
    <row r="2" spans="7:14" x14ac:dyDescent="0.3">
      <c r="G2" t="s">
        <v>10</v>
      </c>
    </row>
    <row r="3" spans="7:14" x14ac:dyDescent="0.3">
      <c r="G3" t="s">
        <v>11</v>
      </c>
    </row>
    <row r="4" spans="7:14" x14ac:dyDescent="0.3">
      <c r="G4" t="s">
        <v>12</v>
      </c>
    </row>
    <row r="6" spans="7:14" x14ac:dyDescent="0.3">
      <c r="G6" s="9"/>
      <c r="H6" s="1" t="s">
        <v>0</v>
      </c>
      <c r="I6" s="1" t="s">
        <v>1</v>
      </c>
      <c r="K6" s="1" t="s">
        <v>5</v>
      </c>
      <c r="L6" s="2">
        <f>SQRT(IF((POWER(H37,2)-POWER(K14,2))&gt; 0,(POWER(H37,2)-POWER(K14,2)),0))</f>
        <v>0.40152966137698431</v>
      </c>
    </row>
    <row r="7" spans="7:14" x14ac:dyDescent="0.3">
      <c r="G7" s="1">
        <v>1</v>
      </c>
      <c r="H7" s="1">
        <v>446.61</v>
      </c>
      <c r="I7" s="1">
        <v>2.95</v>
      </c>
      <c r="K7" s="1" t="s">
        <v>6</v>
      </c>
      <c r="L7" s="2">
        <f>SQRT(IF((POWER(I37,2)-POWER(L14,2))&gt; 0,(POWER(I37,2)-POWER(L14,2)),0))</f>
        <v>0.60257264549882028</v>
      </c>
    </row>
    <row r="8" spans="7:14" x14ac:dyDescent="0.3">
      <c r="G8" s="1">
        <v>2</v>
      </c>
      <c r="H8" s="1">
        <v>446.39</v>
      </c>
      <c r="I8" s="1">
        <v>2.92</v>
      </c>
      <c r="L8" s="3"/>
    </row>
    <row r="9" spans="7:14" x14ac:dyDescent="0.3">
      <c r="G9" s="1">
        <v>3</v>
      </c>
      <c r="H9" s="1">
        <v>446.19</v>
      </c>
      <c r="I9" s="1">
        <v>2.87</v>
      </c>
      <c r="K9" s="7" t="s">
        <v>8</v>
      </c>
      <c r="L9" s="8">
        <f>SQRT(SUM(POWER(L6,2),POWER(L7,2)))</f>
        <v>0.72409934544160626</v>
      </c>
    </row>
    <row r="10" spans="7:14" x14ac:dyDescent="0.3">
      <c r="G10" s="1">
        <v>4</v>
      </c>
      <c r="H10" s="1">
        <v>445.82</v>
      </c>
      <c r="I10" s="1">
        <v>2.82</v>
      </c>
    </row>
    <row r="11" spans="7:14" x14ac:dyDescent="0.3">
      <c r="G11" s="1">
        <v>5</v>
      </c>
      <c r="H11" s="1">
        <v>445.78</v>
      </c>
      <c r="I11" s="1">
        <v>2.88</v>
      </c>
    </row>
    <row r="12" spans="7:14" x14ac:dyDescent="0.3">
      <c r="G12" s="1">
        <v>6</v>
      </c>
      <c r="H12" s="1">
        <v>445.83</v>
      </c>
      <c r="I12" s="1">
        <v>2.9</v>
      </c>
      <c r="K12" s="6" t="s">
        <v>7</v>
      </c>
      <c r="L12" s="6"/>
      <c r="M12" s="6"/>
      <c r="N12" s="6"/>
    </row>
    <row r="13" spans="7:14" x14ac:dyDescent="0.3">
      <c r="G13" s="1">
        <v>7</v>
      </c>
      <c r="H13" s="1">
        <v>445.84</v>
      </c>
      <c r="I13" s="1">
        <v>2.87</v>
      </c>
      <c r="K13" s="4" t="s">
        <v>3</v>
      </c>
      <c r="L13" s="4" t="s">
        <v>4</v>
      </c>
    </row>
    <row r="14" spans="7:14" x14ac:dyDescent="0.3">
      <c r="G14" s="1">
        <v>8</v>
      </c>
      <c r="H14" s="1">
        <v>445.75</v>
      </c>
      <c r="I14" s="1">
        <v>2.5299999999999998</v>
      </c>
      <c r="K14" s="5">
        <v>0.13400000000000001</v>
      </c>
      <c r="L14" s="5">
        <v>0.08</v>
      </c>
    </row>
    <row r="15" spans="7:14" x14ac:dyDescent="0.3">
      <c r="G15" s="1">
        <v>9</v>
      </c>
      <c r="H15" s="1">
        <v>445.85</v>
      </c>
      <c r="I15" s="1">
        <v>2.91</v>
      </c>
    </row>
    <row r="16" spans="7:14" x14ac:dyDescent="0.3">
      <c r="G16" s="1">
        <v>10</v>
      </c>
      <c r="H16" s="1">
        <v>445.53</v>
      </c>
      <c r="I16" s="1">
        <v>2.92</v>
      </c>
    </row>
    <row r="17" spans="7:9" x14ac:dyDescent="0.3">
      <c r="G17" s="1">
        <v>11</v>
      </c>
      <c r="H17" s="1">
        <v>445.47</v>
      </c>
      <c r="I17" s="1">
        <v>2.97</v>
      </c>
    </row>
    <row r="18" spans="7:9" x14ac:dyDescent="0.3">
      <c r="G18" s="1">
        <v>12</v>
      </c>
      <c r="H18" s="1">
        <v>445.57</v>
      </c>
      <c r="I18" s="1">
        <v>2.9</v>
      </c>
    </row>
    <row r="19" spans="7:9" x14ac:dyDescent="0.3">
      <c r="G19" s="1">
        <v>13</v>
      </c>
      <c r="H19" s="1">
        <v>445.45</v>
      </c>
      <c r="I19" s="1">
        <v>2.95</v>
      </c>
    </row>
    <row r="20" spans="7:9" x14ac:dyDescent="0.3">
      <c r="G20" s="1">
        <v>14</v>
      </c>
      <c r="H20" s="1">
        <v>445.42</v>
      </c>
      <c r="I20" s="1">
        <v>3.05</v>
      </c>
    </row>
    <row r="21" spans="7:9" x14ac:dyDescent="0.3">
      <c r="G21" s="1">
        <v>15</v>
      </c>
      <c r="H21" s="1">
        <v>445.23</v>
      </c>
      <c r="I21" s="1">
        <v>3.04</v>
      </c>
    </row>
    <row r="22" spans="7:9" x14ac:dyDescent="0.3">
      <c r="G22" s="1">
        <v>16</v>
      </c>
      <c r="H22" s="1">
        <v>445.14</v>
      </c>
      <c r="I22" s="1">
        <v>3.21</v>
      </c>
    </row>
    <row r="23" spans="7:9" x14ac:dyDescent="0.3">
      <c r="G23" s="1">
        <v>17</v>
      </c>
      <c r="H23" s="1">
        <v>445.07</v>
      </c>
      <c r="I23" s="1">
        <v>3.16</v>
      </c>
    </row>
    <row r="24" spans="7:9" x14ac:dyDescent="0.3">
      <c r="G24" s="1">
        <v>18</v>
      </c>
      <c r="H24" s="1">
        <v>444.92</v>
      </c>
      <c r="I24" s="1">
        <v>3.09</v>
      </c>
    </row>
    <row r="25" spans="7:9" x14ac:dyDescent="0.3">
      <c r="G25" s="1">
        <v>19</v>
      </c>
      <c r="H25" s="1">
        <v>445.09</v>
      </c>
      <c r="I25" s="1">
        <v>3.29</v>
      </c>
    </row>
    <row r="26" spans="7:9" x14ac:dyDescent="0.3">
      <c r="G26" s="1">
        <v>20</v>
      </c>
      <c r="H26" s="1">
        <v>445.06</v>
      </c>
      <c r="I26" s="1">
        <v>3.38</v>
      </c>
    </row>
    <row r="27" spans="7:9" x14ac:dyDescent="0.3">
      <c r="G27" s="1">
        <v>21</v>
      </c>
      <c r="H27" s="1">
        <v>445.12</v>
      </c>
      <c r="I27" s="1">
        <v>3.35</v>
      </c>
    </row>
    <row r="28" spans="7:9" x14ac:dyDescent="0.3">
      <c r="G28" s="1">
        <v>22</v>
      </c>
      <c r="H28" s="1">
        <v>445.14</v>
      </c>
      <c r="I28" s="1">
        <v>3.42</v>
      </c>
    </row>
    <row r="29" spans="7:9" x14ac:dyDescent="0.3">
      <c r="G29" s="1">
        <v>23</v>
      </c>
      <c r="H29" s="1">
        <v>445.29</v>
      </c>
      <c r="I29" s="1">
        <v>3.55</v>
      </c>
    </row>
    <row r="30" spans="7:9" x14ac:dyDescent="0.3">
      <c r="G30" s="1">
        <v>24</v>
      </c>
      <c r="H30" s="1">
        <v>445.11</v>
      </c>
      <c r="I30" s="1">
        <v>3.59</v>
      </c>
    </row>
    <row r="31" spans="7:9" x14ac:dyDescent="0.3">
      <c r="G31" s="1">
        <v>25</v>
      </c>
      <c r="H31" s="1">
        <v>445.33</v>
      </c>
      <c r="I31" s="1">
        <v>3.62</v>
      </c>
    </row>
    <row r="32" spans="7:9" x14ac:dyDescent="0.3">
      <c r="G32" s="1">
        <v>26</v>
      </c>
      <c r="H32" s="1">
        <v>445.45</v>
      </c>
      <c r="I32" s="1">
        <v>3.91</v>
      </c>
    </row>
    <row r="33" spans="7:9" x14ac:dyDescent="0.3">
      <c r="G33" s="1">
        <v>27</v>
      </c>
      <c r="H33" s="1">
        <v>445.9</v>
      </c>
      <c r="I33" s="1">
        <v>4.12</v>
      </c>
    </row>
    <row r="34" spans="7:9" x14ac:dyDescent="0.3">
      <c r="G34" s="1">
        <v>28</v>
      </c>
      <c r="H34" s="1">
        <v>445.66</v>
      </c>
      <c r="I34" s="1">
        <v>4.2300000000000004</v>
      </c>
    </row>
    <row r="35" spans="7:9" x14ac:dyDescent="0.3">
      <c r="G35" s="1">
        <v>29</v>
      </c>
      <c r="H35" s="1">
        <v>445.41</v>
      </c>
      <c r="I35" s="1">
        <v>4.96</v>
      </c>
    </row>
    <row r="36" spans="7:9" x14ac:dyDescent="0.3">
      <c r="G36" s="1">
        <v>30</v>
      </c>
      <c r="H36" s="1">
        <v>444.94</v>
      </c>
      <c r="I36" s="1">
        <v>5.0599999999999996</v>
      </c>
    </row>
    <row r="37" spans="7:9" x14ac:dyDescent="0.3">
      <c r="G37" s="1" t="s">
        <v>2</v>
      </c>
      <c r="H37" s="2">
        <f>_xlfn.STDEV.S(H7:H36)</f>
        <v>0.4232990301967578</v>
      </c>
      <c r="I37" s="2">
        <f>_xlfn.STDEV.S(I7:I36)</f>
        <v>0.60786001110736587</v>
      </c>
    </row>
  </sheetData>
  <mergeCells count="1">
    <mergeCell ref="K12:N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Vidal Selles</dc:creator>
  <cp:lastModifiedBy>Samuel Vidal Selles</cp:lastModifiedBy>
  <dcterms:created xsi:type="dcterms:W3CDTF">2026-05-17T19:20:41Z</dcterms:created>
  <dcterms:modified xsi:type="dcterms:W3CDTF">2026-06-03T14:05:07Z</dcterms:modified>
</cp:coreProperties>
</file>