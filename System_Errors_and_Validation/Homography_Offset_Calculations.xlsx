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KÖVDE\TFG\AppDevelopment\Main_Files\Exel_files\"/>
    </mc:Choice>
  </mc:AlternateContent>
  <xr:revisionPtr revIDLastSave="0" documentId="13_ncr:1_{64900AC2-3B85-4509-A2D7-F217C44B856C}" xr6:coauthVersionLast="47" xr6:coauthVersionMax="47" xr10:uidLastSave="{00000000-0000-0000-0000-000000000000}"/>
  <bookViews>
    <workbookView xWindow="-108" yWindow="-108" windowWidth="23256" windowHeight="12456" xr2:uid="{DB04D600-C569-42F2-A292-F0906C52BB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5" i="1" l="1"/>
  <c r="F15" i="1"/>
  <c r="F14" i="1"/>
  <c r="G14" i="1"/>
  <c r="F16" i="1"/>
  <c r="G16" i="1"/>
  <c r="F17" i="1"/>
  <c r="G17" i="1"/>
  <c r="G10" i="1"/>
  <c r="G11" i="1"/>
  <c r="G12" i="1"/>
  <c r="F10" i="1"/>
  <c r="F11" i="1"/>
  <c r="F12" i="1"/>
  <c r="G9" i="1"/>
  <c r="F9" i="1"/>
</calcChain>
</file>

<file path=xl/sharedStrings.xml><?xml version="1.0" encoding="utf-8"?>
<sst xmlns="http://schemas.openxmlformats.org/spreadsheetml/2006/main" count="26" uniqueCount="22">
  <si>
    <t>TCP_X</t>
  </si>
  <si>
    <t>TCP_Y</t>
  </si>
  <si>
    <t>X</t>
  </si>
  <si>
    <t>Y</t>
  </si>
  <si>
    <t>Z</t>
  </si>
  <si>
    <t>UL_B</t>
  </si>
  <si>
    <t>UR_B</t>
  </si>
  <si>
    <t>DL_B</t>
  </si>
  <si>
    <t>DR_B</t>
  </si>
  <si>
    <t>UL_C</t>
  </si>
  <si>
    <t>UR_C</t>
  </si>
  <si>
    <t>DL_C</t>
  </si>
  <si>
    <t>DR_C</t>
  </si>
  <si>
    <t>SCANING_POS</t>
  </si>
  <si>
    <t>Cubes Homography</t>
  </si>
  <si>
    <t>Balls Homography</t>
  </si>
  <si>
    <t>Position from where you put the robot to scan coordinates of the objects within the camera field of view</t>
  </si>
  <si>
    <t>TCP</t>
  </si>
  <si>
    <t>Position from seeing whic is the spatial coordinate with the tool center point</t>
  </si>
  <si>
    <t>X,Y</t>
  </si>
  <si>
    <t>Four sectors that are needed to create a good 2D homography matrix</t>
  </si>
  <si>
    <t>Data to enter into the Improved_Homography 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</si>
</sst>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49A86-ABDC-4844-89B7-2F0F57623550}">
  <dimension ref="C3:P17"/>
  <sheetViews>
    <sheetView tabSelected="1" workbookViewId="0">
      <selection activeCell="I3" sqref="I3"/>
    </sheetView>
  </sheetViews>
  <sheetFormatPr baseColWidth="10" defaultRowHeight="14.4" x14ac:dyDescent="0.3"/>
  <cols>
    <col min="5" max="5" width="12.6640625" customWidth="1"/>
    <col min="9" max="9" width="13.6640625" customWidth="1"/>
  </cols>
  <sheetData>
    <row r="3" spans="3:16" x14ac:dyDescent="0.3">
      <c r="E3" s="2"/>
      <c r="F3" s="1" t="s">
        <v>2</v>
      </c>
      <c r="G3" s="1" t="s">
        <v>3</v>
      </c>
      <c r="H3" s="1" t="s">
        <v>4</v>
      </c>
    </row>
    <row r="4" spans="3:16" x14ac:dyDescent="0.3">
      <c r="E4" s="1" t="s">
        <v>13</v>
      </c>
      <c r="F4" s="1">
        <v>431.32100000000003</v>
      </c>
      <c r="G4" s="1">
        <v>-5.093</v>
      </c>
      <c r="H4" s="1">
        <v>778.19100000000003</v>
      </c>
    </row>
    <row r="6" spans="3:16" x14ac:dyDescent="0.3">
      <c r="I6" s="3" t="s">
        <v>13</v>
      </c>
      <c r="J6" s="10" t="s">
        <v>16</v>
      </c>
      <c r="K6" s="10"/>
      <c r="L6" s="10"/>
      <c r="M6" s="10"/>
      <c r="N6" s="10"/>
      <c r="O6" s="10"/>
      <c r="P6" s="10"/>
    </row>
    <row r="7" spans="3:16" x14ac:dyDescent="0.3">
      <c r="C7" s="3"/>
      <c r="D7" s="1" t="s">
        <v>0</v>
      </c>
      <c r="E7" s="1" t="s">
        <v>1</v>
      </c>
      <c r="F7" s="1" t="s">
        <v>2</v>
      </c>
      <c r="G7" s="1" t="s">
        <v>3</v>
      </c>
      <c r="I7" s="3" t="s">
        <v>17</v>
      </c>
      <c r="J7" s="10" t="s">
        <v>18</v>
      </c>
      <c r="K7" s="10"/>
      <c r="L7" s="10"/>
      <c r="M7" s="10"/>
      <c r="N7" s="10"/>
      <c r="O7" s="10"/>
      <c r="P7" s="10"/>
    </row>
    <row r="8" spans="3:16" x14ac:dyDescent="0.3">
      <c r="C8" s="7" t="s">
        <v>15</v>
      </c>
      <c r="D8" s="8"/>
      <c r="E8" s="8"/>
      <c r="F8" s="8"/>
      <c r="G8" s="9"/>
      <c r="I8" s="3" t="s">
        <v>19</v>
      </c>
      <c r="J8" t="s">
        <v>21</v>
      </c>
    </row>
    <row r="9" spans="3:16" x14ac:dyDescent="0.3">
      <c r="C9" s="1" t="s">
        <v>5</v>
      </c>
      <c r="D9" s="1">
        <v>368.29</v>
      </c>
      <c r="E9" s="1">
        <v>-205.79</v>
      </c>
      <c r="F9" s="1">
        <f>D9-$F$4</f>
        <v>-63.031000000000006</v>
      </c>
      <c r="G9" s="1">
        <f>E9-$G$4</f>
        <v>-200.697</v>
      </c>
      <c r="I9" s="3" t="s">
        <v>5</v>
      </c>
      <c r="J9" t="s">
        <v>20</v>
      </c>
    </row>
    <row r="10" spans="3:16" x14ac:dyDescent="0.3">
      <c r="C10" s="1" t="s">
        <v>6</v>
      </c>
      <c r="D10" s="1">
        <v>340.52</v>
      </c>
      <c r="E10" s="1">
        <v>210.62</v>
      </c>
      <c r="F10" s="1">
        <f>D10-$F$4</f>
        <v>-90.801000000000045</v>
      </c>
      <c r="G10" s="1">
        <f>E10-$G$4</f>
        <v>215.71299999999999</v>
      </c>
    </row>
    <row r="11" spans="3:16" x14ac:dyDescent="0.3">
      <c r="C11" s="1" t="s">
        <v>7</v>
      </c>
      <c r="D11" s="1">
        <v>639.63</v>
      </c>
      <c r="E11" s="1">
        <v>-207.8</v>
      </c>
      <c r="F11" s="1">
        <f>D11-$F$4</f>
        <v>208.30899999999997</v>
      </c>
      <c r="G11" s="1">
        <f>E11-$G$4</f>
        <v>-202.70700000000002</v>
      </c>
    </row>
    <row r="12" spans="3:16" x14ac:dyDescent="0.3">
      <c r="C12" s="1" t="s">
        <v>8</v>
      </c>
      <c r="D12" s="1">
        <v>639.28</v>
      </c>
      <c r="E12" s="1">
        <v>216.17</v>
      </c>
      <c r="F12" s="1">
        <f>D12-$F$4</f>
        <v>207.95899999999995</v>
      </c>
      <c r="G12" s="1">
        <f>E12-$G$4</f>
        <v>221.26299999999998</v>
      </c>
    </row>
    <row r="13" spans="3:16" x14ac:dyDescent="0.3">
      <c r="C13" s="4" t="s">
        <v>14</v>
      </c>
      <c r="D13" s="5"/>
      <c r="E13" s="5"/>
      <c r="F13" s="5"/>
      <c r="G13" s="6"/>
    </row>
    <row r="14" spans="3:16" x14ac:dyDescent="0.3">
      <c r="C14" s="1" t="s">
        <v>9</v>
      </c>
      <c r="D14" s="1">
        <v>373.65</v>
      </c>
      <c r="E14" s="1">
        <v>-181.36</v>
      </c>
      <c r="F14" s="1">
        <f>D14-$F$4</f>
        <v>-57.671000000000049</v>
      </c>
      <c r="G14" s="1">
        <f>E14-$G$4</f>
        <v>-176.26700000000002</v>
      </c>
    </row>
    <row r="15" spans="3:16" x14ac:dyDescent="0.3">
      <c r="C15" s="1" t="s">
        <v>10</v>
      </c>
      <c r="D15" s="1">
        <v>364.21</v>
      </c>
      <c r="E15" s="1">
        <v>192.23</v>
      </c>
      <c r="F15" s="1">
        <f>D15-$F$4</f>
        <v>-67.111000000000047</v>
      </c>
      <c r="G15" s="1">
        <f>E15-$G$4</f>
        <v>197.32299999999998</v>
      </c>
    </row>
    <row r="16" spans="3:16" x14ac:dyDescent="0.3">
      <c r="C16" s="1" t="s">
        <v>11</v>
      </c>
      <c r="D16" s="1">
        <v>612.52</v>
      </c>
      <c r="E16" s="1">
        <v>-182.18</v>
      </c>
      <c r="F16" s="1">
        <f>D16-$F$4</f>
        <v>181.19899999999996</v>
      </c>
      <c r="G16" s="1">
        <f>E16-$G$4</f>
        <v>-177.08700000000002</v>
      </c>
    </row>
    <row r="17" spans="3:7" x14ac:dyDescent="0.3">
      <c r="C17" s="1" t="s">
        <v>12</v>
      </c>
      <c r="D17" s="1">
        <v>614.42999999999995</v>
      </c>
      <c r="E17" s="1">
        <v>192.95</v>
      </c>
      <c r="F17" s="1">
        <f>D17-$F$4</f>
        <v>183.10899999999992</v>
      </c>
      <c r="G17" s="1">
        <f>E17-$G$4</f>
        <v>198.04299999999998</v>
      </c>
    </row>
  </sheetData>
  <mergeCells count="2">
    <mergeCell ref="C8:G8"/>
    <mergeCell ref="C13:G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Vidal Selles</dc:creator>
  <cp:lastModifiedBy>Samuel Vidal Selles</cp:lastModifiedBy>
  <dcterms:created xsi:type="dcterms:W3CDTF">2026-05-13T09:53:46Z</dcterms:created>
  <dcterms:modified xsi:type="dcterms:W3CDTF">2026-06-03T15:20:05Z</dcterms:modified>
</cp:coreProperties>
</file>